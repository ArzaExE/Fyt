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°Anno\Progetti\Fyt\6_Allegati\"/>
    </mc:Choice>
  </mc:AlternateContent>
  <xr:revisionPtr revIDLastSave="0" documentId="13_ncr:1_{3BD7ABA2-258E-4888-93B7-93EA30A05206}" xr6:coauthVersionLast="36" xr6:coauthVersionMax="47" xr10:uidLastSave="{00000000-0000-0000-0000-000000000000}"/>
  <bookViews>
    <workbookView xWindow="0" yWindow="0" windowWidth="21570" windowHeight="9330" xr2:uid="{C331BEEF-8C1C-4C3A-8354-742B354A91FA}"/>
  </bookViews>
  <sheets>
    <sheet name="Gantt" sheetId="1" r:id="rId1"/>
    <sheet name="Foglio1" sheetId="2" r:id="rId2"/>
    <sheet name="Elenco" sheetId="3" r:id="rId3"/>
  </sheets>
  <definedNames>
    <definedName name="_xlnm._FilterDatabase" localSheetId="0" hidden="1">Gantt!$A$2:$AC$16</definedName>
    <definedName name="costo_orario">Gantt!$A$1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R3" i="3" l="1"/>
  <c r="R4" i="3"/>
  <c r="R5" i="3"/>
  <c r="R6" i="3"/>
  <c r="R2" i="3"/>
  <c r="N2" i="3"/>
  <c r="N3" i="3"/>
  <c r="N4" i="3"/>
  <c r="N5" i="3"/>
  <c r="N6" i="3"/>
  <c r="F1" i="2"/>
  <c r="I4" i="1" l="1"/>
  <c r="I5" i="1"/>
  <c r="I7" i="1"/>
  <c r="I8" i="1"/>
  <c r="I13" i="1"/>
  <c r="I14" i="1"/>
  <c r="I15" i="1"/>
  <c r="I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Arzani</author>
  </authors>
  <commentList>
    <comment ref="C2" authorId="0" shapeId="0" xr:uid="{CAA91162-F9A8-4693-9A23-09F540159931}">
      <text>
        <r>
          <rPr>
            <b/>
            <sz val="9"/>
            <color indexed="81"/>
            <rFont val="Tahoma"/>
            <family val="2"/>
          </rPr>
          <t>Christian Arzani:</t>
        </r>
        <r>
          <rPr>
            <sz val="9"/>
            <color indexed="81"/>
            <rFont val="Tahoma"/>
            <family val="2"/>
          </rPr>
          <t xml:space="preserve">
P = preventivo
C = consuntivo/effettivo
</t>
        </r>
      </text>
    </comment>
  </commentList>
</comments>
</file>

<file path=xl/sharedStrings.xml><?xml version="1.0" encoding="utf-8"?>
<sst xmlns="http://schemas.openxmlformats.org/spreadsheetml/2006/main" count="111" uniqueCount="45">
  <si>
    <t>Tempo</t>
  </si>
  <si>
    <t>PHASE</t>
  </si>
  <si>
    <t>TASK</t>
  </si>
  <si>
    <t>GANT P/C</t>
  </si>
  <si>
    <t>HR1</t>
  </si>
  <si>
    <t>HR2</t>
  </si>
  <si>
    <t>DURATION</t>
  </si>
  <si>
    <t>P</t>
  </si>
  <si>
    <t>PC</t>
  </si>
  <si>
    <t>x</t>
  </si>
  <si>
    <t>C</t>
  </si>
  <si>
    <t>Licenza</t>
  </si>
  <si>
    <t>y</t>
  </si>
  <si>
    <t>Schermo</t>
  </si>
  <si>
    <t>A2.1</t>
  </si>
  <si>
    <t>HDMI</t>
  </si>
  <si>
    <t>A2.2</t>
  </si>
  <si>
    <t>matvej</t>
  </si>
  <si>
    <t>leo</t>
  </si>
  <si>
    <t>gabriele</t>
  </si>
  <si>
    <t>Milan</t>
  </si>
  <si>
    <t>Maignam</t>
  </si>
  <si>
    <t>SQ1</t>
  </si>
  <si>
    <t>CALENDARIO</t>
  </si>
  <si>
    <t>SQ2</t>
  </si>
  <si>
    <t>Scegli la tua squadra e ti dico il portiere</t>
  </si>
  <si>
    <t>Portieri</t>
  </si>
  <si>
    <t>Inter</t>
  </si>
  <si>
    <t>Onana</t>
  </si>
  <si>
    <t>Juve</t>
  </si>
  <si>
    <t>-</t>
  </si>
  <si>
    <t>Perin</t>
  </si>
  <si>
    <t>Roma</t>
  </si>
  <si>
    <t>Rui Patricio</t>
  </si>
  <si>
    <t>Lazio</t>
  </si>
  <si>
    <t>Provedel</t>
  </si>
  <si>
    <t>Analisi</t>
  </si>
  <si>
    <t>Discussione col cliente</t>
  </si>
  <si>
    <t>Pianificazione</t>
  </si>
  <si>
    <t>Requisiti</t>
  </si>
  <si>
    <t>Analisi dei mezzi</t>
  </si>
  <si>
    <t>Use Case Diagram</t>
  </si>
  <si>
    <t>HR3</t>
  </si>
  <si>
    <t>INIZIO</t>
  </si>
  <si>
    <t>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</si>
</sst>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5" fillId="0" borderId="0" xfId="0" applyFont="1" applyAlignment="1">
      <alignment horizontal="center" vertical="center"/>
    </xf>
  </cellXfs>
  <cellStyles count="1">
    <cellStyle name="Normale" xfId="0" builtinId="0"/>
  </cellStyles>
  <dxfs count="2">
    <dxf>
      <font>
        <color rgb="FF7030A0"/>
      </font>
      <fill>
        <patternFill>
          <bgColor rgb="FF7030A0"/>
        </patternFill>
      </fill>
    </dxf>
    <dxf>
      <font>
        <color rgb="FFFFC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86FD-CAFE-4A75-8516-D18516F03EE4}">
  <dimension ref="A1:AC23"/>
  <sheetViews>
    <sheetView tabSelected="1" zoomScale="145" zoomScaleNormal="145" workbookViewId="0">
      <selection activeCell="E13" sqref="E13"/>
    </sheetView>
  </sheetViews>
  <sheetFormatPr defaultRowHeight="15" x14ac:dyDescent="0.25"/>
  <cols>
    <col min="1" max="1" width="10.85546875" bestFit="1" customWidth="1"/>
    <col min="2" max="2" width="21.42578125" bestFit="1" customWidth="1"/>
    <col min="3" max="3" width="11.85546875" bestFit="1" customWidth="1"/>
    <col min="4" max="6" width="11.85546875" customWidth="1"/>
    <col min="9" max="9" width="12.7109375" bestFit="1" customWidth="1"/>
    <col min="10" max="29" width="4.7109375" style="1" customWidth="1"/>
  </cols>
  <sheetData>
    <row r="1" spans="1:29" x14ac:dyDescent="0.25">
      <c r="J1" s="6" t="s">
        <v>0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42</v>
      </c>
      <c r="G2" s="3" t="s">
        <v>43</v>
      </c>
      <c r="H2" s="3" t="s">
        <v>44</v>
      </c>
      <c r="I2" s="3" t="s">
        <v>6</v>
      </c>
      <c r="J2" s="1">
        <v>1</v>
      </c>
      <c r="K2" s="1">
        <v>2</v>
      </c>
      <c r="L2" s="1">
        <v>3</v>
      </c>
      <c r="M2" s="1">
        <v>4</v>
      </c>
      <c r="N2" s="1">
        <v>5</v>
      </c>
      <c r="O2" s="1">
        <v>6</v>
      </c>
      <c r="P2" s="1">
        <v>7</v>
      </c>
      <c r="Q2" s="1">
        <v>8</v>
      </c>
      <c r="R2" s="1">
        <v>9</v>
      </c>
      <c r="S2" s="1">
        <v>10</v>
      </c>
      <c r="T2" s="1">
        <v>11</v>
      </c>
      <c r="U2" s="1">
        <v>12</v>
      </c>
      <c r="V2" s="1">
        <v>13</v>
      </c>
      <c r="W2" s="1">
        <v>14</v>
      </c>
      <c r="X2" s="1">
        <v>15</v>
      </c>
      <c r="Y2" s="1">
        <v>16</v>
      </c>
      <c r="Z2" s="1">
        <v>17</v>
      </c>
      <c r="AA2" s="1">
        <v>18</v>
      </c>
      <c r="AB2" s="1">
        <v>19</v>
      </c>
      <c r="AC2" s="1">
        <v>20</v>
      </c>
    </row>
    <row r="3" spans="1:29" x14ac:dyDescent="0.25">
      <c r="A3" s="9" t="s">
        <v>36</v>
      </c>
      <c r="B3" t="s">
        <v>37</v>
      </c>
      <c r="C3" t="s">
        <v>7</v>
      </c>
      <c r="G3" t="s">
        <v>8</v>
      </c>
      <c r="H3" t="s">
        <v>8</v>
      </c>
      <c r="I3">
        <f>COUNTA(J3:AC3)</f>
        <v>3</v>
      </c>
      <c r="J3" s="1" t="s">
        <v>9</v>
      </c>
      <c r="K3" s="1" t="s">
        <v>9</v>
      </c>
      <c r="L3" s="1" t="s">
        <v>9</v>
      </c>
    </row>
    <row r="4" spans="1:29" x14ac:dyDescent="0.25">
      <c r="A4" s="9"/>
      <c r="B4" t="s">
        <v>37</v>
      </c>
      <c r="C4" t="s">
        <v>10</v>
      </c>
      <c r="G4" t="s">
        <v>8</v>
      </c>
      <c r="H4" t="s">
        <v>11</v>
      </c>
      <c r="I4">
        <f t="shared" ref="I4:I16" si="0">COUNTA(J4:AC4)</f>
        <v>3</v>
      </c>
      <c r="J4" s="1" t="s">
        <v>12</v>
      </c>
      <c r="K4" s="1" t="s">
        <v>12</v>
      </c>
      <c r="L4" s="1" t="s">
        <v>12</v>
      </c>
    </row>
    <row r="5" spans="1:29" x14ac:dyDescent="0.25">
      <c r="A5" s="9"/>
      <c r="B5" t="s">
        <v>38</v>
      </c>
      <c r="C5" t="s">
        <v>7</v>
      </c>
      <c r="G5" t="s">
        <v>11</v>
      </c>
      <c r="H5" t="s">
        <v>13</v>
      </c>
      <c r="I5">
        <f t="shared" si="0"/>
        <v>2</v>
      </c>
      <c r="M5" s="1" t="s">
        <v>9</v>
      </c>
      <c r="N5" s="1" t="s">
        <v>9</v>
      </c>
    </row>
    <row r="6" spans="1:29" x14ac:dyDescent="0.25">
      <c r="A6" s="9"/>
      <c r="B6" t="s">
        <v>38</v>
      </c>
      <c r="C6" t="s">
        <v>10</v>
      </c>
      <c r="G6" t="s">
        <v>11</v>
      </c>
      <c r="H6" t="s">
        <v>8</v>
      </c>
      <c r="I6">
        <v>1</v>
      </c>
      <c r="M6" s="1" t="s">
        <v>12</v>
      </c>
    </row>
    <row r="7" spans="1:29" x14ac:dyDescent="0.25">
      <c r="A7" s="9"/>
      <c r="B7" t="s">
        <v>39</v>
      </c>
      <c r="C7" t="s">
        <v>7</v>
      </c>
      <c r="G7" t="s">
        <v>13</v>
      </c>
      <c r="H7" t="s">
        <v>11</v>
      </c>
      <c r="I7">
        <f t="shared" si="0"/>
        <v>3</v>
      </c>
      <c r="O7" s="1" t="s">
        <v>9</v>
      </c>
      <c r="P7" s="1" t="s">
        <v>9</v>
      </c>
      <c r="Q7" s="1" t="s">
        <v>9</v>
      </c>
    </row>
    <row r="8" spans="1:29" x14ac:dyDescent="0.25">
      <c r="A8" s="9"/>
      <c r="B8" t="s">
        <v>39</v>
      </c>
      <c r="C8" t="s">
        <v>10</v>
      </c>
      <c r="G8" t="s">
        <v>13</v>
      </c>
      <c r="H8" t="s">
        <v>13</v>
      </c>
      <c r="I8">
        <f t="shared" si="0"/>
        <v>3</v>
      </c>
      <c r="N8" s="1" t="s">
        <v>12</v>
      </c>
      <c r="O8" t="s">
        <v>12</v>
      </c>
      <c r="P8" s="1" t="s">
        <v>12</v>
      </c>
    </row>
    <row r="9" spans="1:29" x14ac:dyDescent="0.25">
      <c r="A9" s="9"/>
      <c r="B9" t="s">
        <v>40</v>
      </c>
      <c r="C9" t="s">
        <v>7</v>
      </c>
      <c r="J9" s="4"/>
      <c r="K9" s="4"/>
      <c r="L9" s="4"/>
      <c r="M9" s="4"/>
      <c r="N9" s="4"/>
      <c r="O9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25">
      <c r="A10" s="9"/>
      <c r="B10" t="s">
        <v>40</v>
      </c>
      <c r="C10" t="s">
        <v>10</v>
      </c>
      <c r="J10" s="4"/>
      <c r="K10" s="4"/>
      <c r="L10" s="4"/>
      <c r="M10" s="4"/>
      <c r="N10" s="4"/>
      <c r="O10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5">
      <c r="A11" s="9"/>
      <c r="B11" t="s">
        <v>41</v>
      </c>
      <c r="C11" t="s">
        <v>7</v>
      </c>
      <c r="J11" s="4"/>
      <c r="K11" s="4"/>
      <c r="L11" s="4"/>
      <c r="M11" s="4"/>
      <c r="N11" s="4"/>
      <c r="O11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5">
      <c r="A12" s="9"/>
      <c r="B12" t="s">
        <v>41</v>
      </c>
      <c r="C12" t="s">
        <v>10</v>
      </c>
      <c r="J12" s="4"/>
      <c r="K12" s="4"/>
      <c r="L12" s="4"/>
      <c r="M12" s="4"/>
      <c r="N12" s="4"/>
      <c r="O1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x14ac:dyDescent="0.25">
      <c r="A13" s="5">
        <v>2</v>
      </c>
      <c r="B13" t="s">
        <v>14</v>
      </c>
      <c r="C13" t="s">
        <v>7</v>
      </c>
      <c r="H13" t="s">
        <v>13</v>
      </c>
      <c r="I13">
        <f t="shared" si="0"/>
        <v>1</v>
      </c>
      <c r="R13" s="1" t="s">
        <v>9</v>
      </c>
    </row>
    <row r="14" spans="1:29" x14ac:dyDescent="0.25">
      <c r="A14" s="5"/>
      <c r="B14" t="s">
        <v>14</v>
      </c>
      <c r="C14" t="s">
        <v>10</v>
      </c>
      <c r="H14" t="s">
        <v>15</v>
      </c>
      <c r="I14">
        <f t="shared" si="0"/>
        <v>3</v>
      </c>
      <c r="Q14" s="1" t="s">
        <v>12</v>
      </c>
      <c r="R14" s="1" t="s">
        <v>12</v>
      </c>
      <c r="S14" s="1" t="s">
        <v>12</v>
      </c>
    </row>
    <row r="15" spans="1:29" x14ac:dyDescent="0.25">
      <c r="A15" s="5"/>
      <c r="B15" t="s">
        <v>16</v>
      </c>
      <c r="C15" t="s">
        <v>7</v>
      </c>
      <c r="H15" t="s">
        <v>8</v>
      </c>
      <c r="I15">
        <f t="shared" si="0"/>
        <v>2</v>
      </c>
      <c r="S15" s="1" t="s">
        <v>9</v>
      </c>
      <c r="T15" s="1" t="s">
        <v>9</v>
      </c>
    </row>
    <row r="16" spans="1:29" x14ac:dyDescent="0.25">
      <c r="A16" s="5"/>
      <c r="B16" t="s">
        <v>16</v>
      </c>
      <c r="C16" t="s">
        <v>10</v>
      </c>
      <c r="H16" t="s">
        <v>8</v>
      </c>
      <c r="I16">
        <f t="shared" si="0"/>
        <v>2</v>
      </c>
      <c r="T16" s="1" t="s">
        <v>12</v>
      </c>
      <c r="U16" t="s">
        <v>12</v>
      </c>
    </row>
    <row r="19" spans="3:29" x14ac:dyDescent="0.25">
      <c r="C19" s="2"/>
      <c r="E19" s="1"/>
      <c r="F19" s="1"/>
      <c r="G19" s="1"/>
      <c r="H19" s="1"/>
      <c r="I19" s="1"/>
      <c r="X19"/>
      <c r="Y19"/>
      <c r="Z19"/>
      <c r="AA19"/>
      <c r="AB19"/>
      <c r="AC19"/>
    </row>
    <row r="20" spans="3:29" x14ac:dyDescent="0.25">
      <c r="E20" s="1"/>
      <c r="F20" s="1"/>
      <c r="G20" s="1"/>
      <c r="H20" s="1"/>
      <c r="I20" s="1"/>
      <c r="X20"/>
      <c r="Y20"/>
      <c r="Z20"/>
      <c r="AA20"/>
      <c r="AB20"/>
      <c r="AC20"/>
    </row>
    <row r="21" spans="3:29" x14ac:dyDescent="0.25">
      <c r="E21" s="1"/>
      <c r="F21" s="1"/>
      <c r="G21" s="1"/>
      <c r="H21" s="1"/>
      <c r="I21" s="1"/>
      <c r="X21"/>
      <c r="Y21"/>
      <c r="Z21"/>
      <c r="AA21"/>
      <c r="AB21"/>
      <c r="AC21"/>
    </row>
    <row r="22" spans="3:29" x14ac:dyDescent="0.25">
      <c r="E22" s="1"/>
      <c r="F22" s="1"/>
      <c r="G22" s="1"/>
      <c r="H22" s="1"/>
      <c r="I22" s="1"/>
      <c r="X22"/>
      <c r="Y22"/>
      <c r="Z22"/>
      <c r="AA22"/>
      <c r="AB22"/>
      <c r="AC22"/>
    </row>
    <row r="23" spans="3:29" x14ac:dyDescent="0.25">
      <c r="E23" s="1"/>
      <c r="F23" s="1"/>
      <c r="G23" s="1"/>
      <c r="H23" s="1"/>
      <c r="I23" s="1"/>
      <c r="X23"/>
      <c r="Y23"/>
      <c r="Z23"/>
      <c r="AA23"/>
      <c r="AB23"/>
      <c r="AC23"/>
    </row>
  </sheetData>
  <autoFilter ref="A2:AC16" xr:uid="{A030B7C5-C22A-4D46-8919-A0A5C7F02A24}"/>
  <mergeCells count="3">
    <mergeCell ref="A13:A16"/>
    <mergeCell ref="J1:AC1"/>
    <mergeCell ref="A3:A12"/>
  </mergeCells>
  <conditionalFormatting sqref="J1:AC18 J24:AC1048576 E19:W23">
    <cfRule type="cellIs" dxfId="1" priority="1" operator="equal">
      <formula>"y"</formula>
    </cfRule>
    <cfRule type="cellIs" dxfId="0" priority="2" operator="equal">
      <formula>"x"</formula>
    </cfRule>
  </conditionalFormatting>
  <dataValidations count="2">
    <dataValidation type="list" allowBlank="1" showInputMessage="1" showErrorMessage="1" sqref="G3:H16" xr:uid="{45788E1E-4C41-451C-ABF5-A05885B26023}">
      <formula1>#REF!</formula1>
    </dataValidation>
    <dataValidation type="list" allowBlank="1" showInputMessage="1" showErrorMessage="1" sqref="D3:F16" xr:uid="{1E259BE0-3F6F-4863-989D-119029BF7A16}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99A2-D81C-4E26-946A-D1B9446AF831}">
  <dimension ref="A1:F3"/>
  <sheetViews>
    <sheetView zoomScale="130" zoomScaleNormal="130" workbookViewId="0">
      <selection activeCell="F2" sqref="F2"/>
    </sheetView>
  </sheetViews>
  <sheetFormatPr defaultRowHeight="15" x14ac:dyDescent="0.25"/>
  <sheetData>
    <row r="1" spans="1:6" x14ac:dyDescent="0.25">
      <c r="A1" t="s">
        <v>17</v>
      </c>
      <c r="B1">
        <v>10</v>
      </c>
      <c r="E1" t="s">
        <v>17</v>
      </c>
      <c r="F1">
        <f>VLOOKUP(E1,A1:B3,2,FALSE)</f>
        <v>10</v>
      </c>
    </row>
    <row r="2" spans="1:6" x14ac:dyDescent="0.25">
      <c r="A2" t="s">
        <v>18</v>
      </c>
      <c r="B2">
        <v>1</v>
      </c>
    </row>
    <row r="3" spans="1:6" x14ac:dyDescent="0.25">
      <c r="A3" t="s">
        <v>19</v>
      </c>
      <c r="B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B518-8293-473B-BB7A-1A3A14BEFFF5}">
  <dimension ref="A1:R6"/>
  <sheetViews>
    <sheetView zoomScale="115" zoomScaleNormal="115" workbookViewId="0">
      <selection activeCell="M8" sqref="M8"/>
    </sheetView>
  </sheetViews>
  <sheetFormatPr defaultRowHeight="15" x14ac:dyDescent="0.25"/>
  <cols>
    <col min="2" max="2" width="11" bestFit="1" customWidth="1"/>
    <col min="6" max="6" width="12.42578125" bestFit="1" customWidth="1"/>
  </cols>
  <sheetData>
    <row r="1" spans="1:18" x14ac:dyDescent="0.25">
      <c r="A1" t="s">
        <v>20</v>
      </c>
      <c r="B1" t="s">
        <v>21</v>
      </c>
      <c r="C1">
        <v>5</v>
      </c>
      <c r="E1" t="s">
        <v>22</v>
      </c>
      <c r="F1" t="s">
        <v>23</v>
      </c>
      <c r="G1" t="s">
        <v>24</v>
      </c>
      <c r="I1" s="8" t="s">
        <v>25</v>
      </c>
      <c r="J1" s="8"/>
      <c r="K1" s="8"/>
      <c r="L1" s="8"/>
      <c r="N1" s="7" t="s">
        <v>26</v>
      </c>
      <c r="O1" s="7"/>
      <c r="P1" s="7"/>
      <c r="Q1" s="7"/>
    </row>
    <row r="2" spans="1:18" x14ac:dyDescent="0.25">
      <c r="A2" t="s">
        <v>27</v>
      </c>
      <c r="B2" t="s">
        <v>28</v>
      </c>
      <c r="C2">
        <v>3</v>
      </c>
      <c r="E2" t="s">
        <v>29</v>
      </c>
      <c r="F2" s="1" t="s">
        <v>30</v>
      </c>
      <c r="G2" t="s">
        <v>20</v>
      </c>
      <c r="I2" s="8" t="s">
        <v>20</v>
      </c>
      <c r="J2" s="8"/>
      <c r="K2" s="8"/>
      <c r="L2" s="8"/>
      <c r="N2" s="8" t="str">
        <f>VLOOKUP(I2,$A$1:$C$5,2,FALSE)</f>
        <v>Maignam</v>
      </c>
      <c r="O2" s="8"/>
      <c r="P2" s="8"/>
      <c r="Q2" s="8"/>
      <c r="R2">
        <f>VLOOKUP(I2,$A$1:$C$5,3,FALSE)</f>
        <v>5</v>
      </c>
    </row>
    <row r="3" spans="1:18" x14ac:dyDescent="0.25">
      <c r="A3" t="s">
        <v>29</v>
      </c>
      <c r="B3" t="s">
        <v>31</v>
      </c>
      <c r="C3">
        <v>2</v>
      </c>
      <c r="E3" t="s">
        <v>27</v>
      </c>
      <c r="F3" s="1" t="s">
        <v>30</v>
      </c>
      <c r="G3" t="s">
        <v>20</v>
      </c>
      <c r="I3" s="8" t="s">
        <v>29</v>
      </c>
      <c r="J3" s="8"/>
      <c r="K3" s="8"/>
      <c r="L3" s="8"/>
      <c r="N3" s="8" t="str">
        <f>VLOOKUP(I3,$A$1:$C$5,2,FALSE)</f>
        <v>Perin</v>
      </c>
      <c r="O3" s="8"/>
      <c r="P3" s="8"/>
      <c r="Q3" s="8"/>
      <c r="R3">
        <f t="shared" ref="R3:R6" si="0">VLOOKUP(I3,$A$1:$C$5,3,FALSE)</f>
        <v>2</v>
      </c>
    </row>
    <row r="4" spans="1:18" x14ac:dyDescent="0.25">
      <c r="A4" t="s">
        <v>32</v>
      </c>
      <c r="B4" t="s">
        <v>33</v>
      </c>
      <c r="C4">
        <v>2</v>
      </c>
      <c r="E4" t="s">
        <v>32</v>
      </c>
      <c r="F4" s="1" t="s">
        <v>30</v>
      </c>
      <c r="G4" t="s">
        <v>34</v>
      </c>
      <c r="I4" s="8" t="s">
        <v>27</v>
      </c>
      <c r="J4" s="8"/>
      <c r="K4" s="8"/>
      <c r="L4" s="8"/>
      <c r="N4" s="8" t="str">
        <f>VLOOKUP(I4,$A$1:$C$5,2,FALSE)</f>
        <v>Onana</v>
      </c>
      <c r="O4" s="8"/>
      <c r="P4" s="8"/>
      <c r="Q4" s="8"/>
      <c r="R4">
        <f t="shared" si="0"/>
        <v>3</v>
      </c>
    </row>
    <row r="5" spans="1:18" x14ac:dyDescent="0.25">
      <c r="A5" t="s">
        <v>34</v>
      </c>
      <c r="B5" t="s">
        <v>35</v>
      </c>
      <c r="C5">
        <v>4</v>
      </c>
      <c r="F5" s="1"/>
      <c r="I5" s="8" t="s">
        <v>32</v>
      </c>
      <c r="J5" s="8"/>
      <c r="K5" s="8"/>
      <c r="L5" s="8"/>
      <c r="N5" s="8" t="str">
        <f>VLOOKUP(I5,$A$1:$C$5,2,FALSE)</f>
        <v>Rui Patricio</v>
      </c>
      <c r="O5" s="8"/>
      <c r="P5" s="8"/>
      <c r="Q5" s="8"/>
      <c r="R5">
        <f t="shared" si="0"/>
        <v>2</v>
      </c>
    </row>
    <row r="6" spans="1:18" x14ac:dyDescent="0.25">
      <c r="F6" s="1"/>
      <c r="I6" s="8" t="s">
        <v>34</v>
      </c>
      <c r="J6" s="8"/>
      <c r="K6" s="8"/>
      <c r="L6" s="8"/>
      <c r="N6" s="8" t="str">
        <f>VLOOKUP(I6,$A$1:$C$5,2,FALSE)</f>
        <v>Provedel</v>
      </c>
      <c r="O6" s="8"/>
      <c r="P6" s="8"/>
      <c r="Q6" s="8"/>
      <c r="R6">
        <f t="shared" si="0"/>
        <v>4</v>
      </c>
    </row>
  </sheetData>
  <mergeCells count="12">
    <mergeCell ref="N3:Q3"/>
    <mergeCell ref="N4:Q4"/>
    <mergeCell ref="N5:Q5"/>
    <mergeCell ref="N6:Q6"/>
    <mergeCell ref="N1:Q1"/>
    <mergeCell ref="N2:Q2"/>
    <mergeCell ref="I6:L6"/>
    <mergeCell ref="I1:L1"/>
    <mergeCell ref="I2:L2"/>
    <mergeCell ref="I3:L3"/>
    <mergeCell ref="I4:L4"/>
    <mergeCell ref="I5:L5"/>
  </mergeCells>
  <dataValidations count="1">
    <dataValidation type="list" allowBlank="1" showInputMessage="1" showErrorMessage="1" sqref="E2:E6 G2:G6 I2:L6" xr:uid="{CCF7360E-A4AC-44B8-9EBF-9C6F2E9C9C99}">
      <formula1>$A$1:$A$5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Gantt</vt:lpstr>
      <vt:lpstr>Foglio1</vt:lpstr>
      <vt:lpstr>Elenco</vt:lpstr>
      <vt:lpstr>costo_orario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Arzani</dc:creator>
  <cp:keywords/>
  <dc:description/>
  <cp:lastModifiedBy>Christian Arzani</cp:lastModifiedBy>
  <cp:revision/>
  <dcterms:created xsi:type="dcterms:W3CDTF">2022-10-14T12:28:41Z</dcterms:created>
  <dcterms:modified xsi:type="dcterms:W3CDTF">2025-02-12T11:39:30Z</dcterms:modified>
  <cp:category/>
  <cp:contentStatus/>
</cp:coreProperties>
</file>